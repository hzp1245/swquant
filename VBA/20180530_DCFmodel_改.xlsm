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zp0625\Desktop\申万金工\VBA\"/>
    </mc:Choice>
  </mc:AlternateContent>
  <bookViews>
    <workbookView xWindow="0" yWindow="435" windowWidth="28800" windowHeight="15780" tabRatio="500"/>
  </bookViews>
  <sheets>
    <sheet name="DCF" sheetId="3" r:id="rId1"/>
    <sheet name="工作表1" sheetId="1" r:id="rId2"/>
    <sheet name="DCF验算" sheetId="2" r:id="rId3"/>
  </sheet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4" i="1" l="1"/>
  <c r="D3" i="2"/>
  <c r="D4" i="2"/>
  <c r="D5" i="2"/>
  <c r="D2" i="2"/>
  <c r="D6" i="2"/>
  <c r="D7" i="2"/>
  <c r="D8" i="2"/>
  <c r="D9" i="2"/>
  <c r="D10" i="2"/>
  <c r="D11" i="2"/>
  <c r="E11" i="2"/>
  <c r="E7" i="2"/>
  <c r="D14" i="2"/>
  <c r="E2" i="2"/>
  <c r="E8" i="2"/>
  <c r="E10" i="2"/>
  <c r="E6" i="2"/>
  <c r="E9" i="2"/>
  <c r="E5" i="2"/>
  <c r="E4" i="2"/>
  <c r="E3" i="2"/>
  <c r="E14" i="2"/>
</calcChain>
</file>

<file path=xl/sharedStrings.xml><?xml version="1.0" encoding="utf-8"?>
<sst xmlns="http://schemas.openxmlformats.org/spreadsheetml/2006/main" count="27" uniqueCount="11">
  <si>
    <t>年份</t>
    <phoneticPr fontId="1" type="noConversion"/>
  </si>
  <si>
    <t>现金流</t>
    <phoneticPr fontId="1" type="noConversion"/>
  </si>
  <si>
    <t>当期贴现率</t>
    <phoneticPr fontId="1" type="noConversion"/>
  </si>
  <si>
    <t>DCF</t>
    <phoneticPr fontId="1" type="noConversion"/>
  </si>
  <si>
    <t>永续贴现率</t>
    <phoneticPr fontId="1" type="noConversion"/>
  </si>
  <si>
    <t>DCF永续</t>
    <phoneticPr fontId="1" type="noConversion"/>
  </si>
  <si>
    <t>永续现金流</t>
    <phoneticPr fontId="1" type="noConversion"/>
  </si>
  <si>
    <t>DCF合计</t>
    <phoneticPr fontId="1" type="noConversion"/>
  </si>
  <si>
    <t>1+r</t>
    <phoneticPr fontId="1" type="noConversion"/>
  </si>
  <si>
    <t>DCF</t>
    <phoneticPr fontId="1" type="noConversion"/>
  </si>
  <si>
    <t>永续增长率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</si>
</sst>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DengXian"/>
      <family val="4"/>
      <charset val="134"/>
    </font>
    <font>
      <sz val="12"/>
      <color theme="1"/>
      <name val="DengXian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8">
    <xf numFmtId="0" fontId="0" fillId="0" borderId="0" xfId="0"/>
    <xf numFmtId="10" fontId="0" fillId="0" borderId="0" xfId="0" applyNumberFormat="1"/>
    <xf numFmtId="9" fontId="0" fillId="0" borderId="0" xfId="0" applyNumberFormat="1"/>
    <xf numFmtId="0" fontId="0" fillId="2" borderId="0" xfId="0" applyFill="1"/>
    <xf numFmtId="9" fontId="0" fillId="0" borderId="0" xfId="1" applyFont="1" applyAlignment="1"/>
    <xf numFmtId="10" fontId="0" fillId="0" borderId="0" xfId="0" applyNumberFormat="1" applyProtection="1"/>
    <xf numFmtId="0" fontId="0" fillId="0" borderId="0" xfId="0" applyProtection="1"/>
    <xf numFmtId="0" fontId="0" fillId="2" borderId="0" xfId="0" applyFill="1" applyProtection="1"/>
  </cellXfs>
  <cellStyles count="2">
    <cellStyle name="百分比" xfId="1" builtinId="5"/>
    <cellStyle name="常规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14</xdr:row>
          <xdr:rowOff>19050</xdr:rowOff>
        </xdr:from>
        <xdr:to>
          <xdr:col>7</xdr:col>
          <xdr:colOff>828675</xdr:colOff>
          <xdr:row>16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8"/>
  <sheetViews>
    <sheetView tabSelected="1" workbookViewId="0">
      <selection activeCell="D16" sqref="D16"/>
    </sheetView>
  </sheetViews>
  <sheetFormatPr defaultColWidth="10.6640625" defaultRowHeight="15.75"/>
  <cols>
    <col min="1" max="1" width="15.44140625" customWidth="1"/>
    <col min="2" max="2" width="18.33203125" customWidth="1"/>
    <col min="3" max="3" width="14.44140625" style="1" customWidth="1"/>
    <col min="4" max="4" width="15" customWidth="1"/>
    <col min="5" max="5" width="15.6640625" customWidth="1"/>
    <col min="6" max="6" width="15.88671875" style="1" customWidth="1"/>
    <col min="7" max="7" width="15.6640625" customWidth="1"/>
    <col min="8" max="8" width="17.44140625" customWidth="1"/>
  </cols>
  <sheetData>
    <row r="1" spans="1:5">
      <c r="A1" t="s">
        <v>0</v>
      </c>
      <c r="B1" t="s">
        <v>1</v>
      </c>
      <c r="C1" s="5" t="s">
        <v>2</v>
      </c>
      <c r="D1" s="6" t="s">
        <v>3</v>
      </c>
    </row>
    <row r="2" spans="1:5">
      <c r="A2">
        <v>1</v>
      </c>
      <c r="B2">
        <v>1000</v>
      </c>
      <c r="C2" s="5">
        <v>0.128</v>
      </c>
      <c r="D2" s="6">
        <v>886.52482269503537</v>
      </c>
    </row>
    <row r="3" spans="1:5">
      <c r="A3">
        <v>2</v>
      </c>
      <c r="B3">
        <v>2000</v>
      </c>
      <c r="C3" s="5">
        <v>0.13600000000000001</v>
      </c>
      <c r="D3" s="6">
        <v>1560.7831385475972</v>
      </c>
    </row>
    <row r="4" spans="1:5">
      <c r="A4">
        <v>3</v>
      </c>
      <c r="B4">
        <v>3000</v>
      </c>
      <c r="C4" s="5">
        <v>0.06</v>
      </c>
      <c r="D4" s="6">
        <v>2208.6553847371656</v>
      </c>
    </row>
    <row r="5" spans="1:5">
      <c r="A5">
        <v>4</v>
      </c>
      <c r="B5">
        <v>2500</v>
      </c>
      <c r="C5" s="5">
        <v>0.11</v>
      </c>
      <c r="D5" s="6">
        <v>1658.1496882411152</v>
      </c>
    </row>
    <row r="6" spans="1:5">
      <c r="A6">
        <v>5</v>
      </c>
      <c r="B6">
        <v>30</v>
      </c>
      <c r="C6" s="5">
        <v>7.0000000000000007E-2</v>
      </c>
      <c r="D6" s="6">
        <v>18.596071269993814</v>
      </c>
    </row>
    <row r="7" spans="1:5">
      <c r="A7">
        <v>6</v>
      </c>
      <c r="B7">
        <v>8000</v>
      </c>
      <c r="C7" s="5">
        <v>1.0999999999999999E-2</v>
      </c>
      <c r="D7" s="6">
        <v>4904.9973676211848</v>
      </c>
    </row>
    <row r="8" spans="1:5">
      <c r="A8">
        <v>7</v>
      </c>
      <c r="B8">
        <v>5000</v>
      </c>
      <c r="C8" s="5">
        <v>0.08</v>
      </c>
      <c r="D8" s="6">
        <v>2838.5401432992967</v>
      </c>
    </row>
    <row r="9" spans="1:5">
      <c r="A9">
        <v>8</v>
      </c>
      <c r="B9">
        <v>2000</v>
      </c>
      <c r="C9" s="5">
        <v>0.11</v>
      </c>
      <c r="D9" s="6">
        <v>1022.8973489366833</v>
      </c>
    </row>
    <row r="10" spans="1:5">
      <c r="A10">
        <v>9</v>
      </c>
      <c r="B10">
        <v>3000</v>
      </c>
      <c r="C10" s="5">
        <v>0.2</v>
      </c>
      <c r="D10" s="6">
        <v>1278.6216861708542</v>
      </c>
    </row>
    <row r="11" spans="1:5">
      <c r="A11">
        <v>10</v>
      </c>
      <c r="B11">
        <v>4</v>
      </c>
      <c r="C11" s="5">
        <v>0.13</v>
      </c>
      <c r="D11" s="6">
        <v>1.5086981547738696</v>
      </c>
    </row>
    <row r="13" spans="1:5">
      <c r="B13" t="s">
        <v>6</v>
      </c>
      <c r="C13" s="1" t="s">
        <v>4</v>
      </c>
      <c r="D13" t="s">
        <v>5</v>
      </c>
      <c r="E13" s="3" t="s">
        <v>7</v>
      </c>
    </row>
    <row r="14" spans="1:5">
      <c r="B14">
        <v>1000</v>
      </c>
      <c r="C14" s="1">
        <v>5.8000000000000003E-2</v>
      </c>
      <c r="D14" s="6">
        <v>6514.8921614393221</v>
      </c>
      <c r="E14" s="7">
        <v>22892.657812958249</v>
      </c>
    </row>
    <row r="15" spans="1:5">
      <c r="B15" t="s">
        <v>10</v>
      </c>
    </row>
    <row r="16" spans="1:5">
      <c r="B16" s="2">
        <v>0.01</v>
      </c>
    </row>
    <row r="18" spans="3:3">
      <c r="C18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4"/>
  <sheetViews>
    <sheetView workbookViewId="0">
      <selection activeCell="B22" sqref="B22"/>
    </sheetView>
  </sheetViews>
  <sheetFormatPr defaultColWidth="10.6640625" defaultRowHeight="15.75"/>
  <cols>
    <col min="1" max="1" width="15.44140625" customWidth="1"/>
    <col min="2" max="2" width="18.33203125" customWidth="1"/>
    <col min="3" max="3" width="14.44140625" style="1" customWidth="1"/>
    <col min="4" max="4" width="15" customWidth="1"/>
    <col min="5" max="5" width="15.6640625" customWidth="1"/>
    <col min="6" max="6" width="15.88671875" style="1" customWidth="1"/>
    <col min="7" max="7" width="15.6640625" customWidth="1"/>
    <col min="8" max="8" width="17.44140625" customWidth="1"/>
  </cols>
  <sheetData>
    <row r="1" spans="1:5">
      <c r="A1" t="s">
        <v>0</v>
      </c>
      <c r="B1" t="s">
        <v>1</v>
      </c>
      <c r="C1" s="1" t="s">
        <v>2</v>
      </c>
      <c r="D1" t="s">
        <v>3</v>
      </c>
    </row>
    <row r="2" spans="1:5">
      <c r="A2">
        <v>1</v>
      </c>
      <c r="B2">
        <v>1000</v>
      </c>
      <c r="C2" s="1">
        <v>0.128</v>
      </c>
      <c r="D2">
        <v>886.52482269503537</v>
      </c>
    </row>
    <row r="3" spans="1:5">
      <c r="A3">
        <v>2</v>
      </c>
      <c r="B3">
        <v>2000</v>
      </c>
      <c r="C3" s="1">
        <v>0.13600000000000001</v>
      </c>
      <c r="D3">
        <v>1560.7831385475972</v>
      </c>
    </row>
    <row r="4" spans="1:5">
      <c r="A4">
        <v>3</v>
      </c>
      <c r="B4">
        <v>3000</v>
      </c>
      <c r="C4" s="1">
        <v>0.06</v>
      </c>
      <c r="D4">
        <v>2208.6553847371656</v>
      </c>
    </row>
    <row r="5" spans="1:5">
      <c r="A5">
        <v>4</v>
      </c>
      <c r="B5">
        <v>2500</v>
      </c>
      <c r="C5" s="1">
        <v>0.11</v>
      </c>
      <c r="D5">
        <v>1658.1496882411152</v>
      </c>
    </row>
    <row r="6" spans="1:5">
      <c r="A6">
        <v>5</v>
      </c>
      <c r="B6">
        <v>30</v>
      </c>
      <c r="C6" s="1">
        <v>7.0000000000000007E-2</v>
      </c>
      <c r="D6">
        <v>18.596071269993814</v>
      </c>
    </row>
    <row r="7" spans="1:5">
      <c r="A7">
        <v>6</v>
      </c>
      <c r="B7">
        <v>8000</v>
      </c>
      <c r="C7" s="1">
        <v>1.0999999999999999E-2</v>
      </c>
      <c r="D7">
        <v>4904.9973676211848</v>
      </c>
    </row>
    <row r="8" spans="1:5">
      <c r="A8">
        <v>7</v>
      </c>
      <c r="B8">
        <v>5000</v>
      </c>
      <c r="C8" s="1">
        <v>0.08</v>
      </c>
      <c r="D8">
        <v>2838.5401432992967</v>
      </c>
    </row>
    <row r="9" spans="1:5">
      <c r="A9">
        <v>8</v>
      </c>
      <c r="B9">
        <v>2000</v>
      </c>
      <c r="C9" s="1">
        <v>0.11</v>
      </c>
      <c r="D9">
        <v>1022.8973489366833</v>
      </c>
    </row>
    <row r="10" spans="1:5">
      <c r="A10">
        <v>9</v>
      </c>
      <c r="B10">
        <v>3000</v>
      </c>
      <c r="C10" s="1">
        <v>0.2</v>
      </c>
      <c r="D10">
        <v>1278.6216861708542</v>
      </c>
    </row>
    <row r="11" spans="1:5">
      <c r="A11">
        <v>10</v>
      </c>
      <c r="B11">
        <v>4</v>
      </c>
      <c r="C11" s="1">
        <v>0.13</v>
      </c>
      <c r="D11">
        <v>1.5086981547738696</v>
      </c>
    </row>
    <row r="13" spans="1:5">
      <c r="B13" t="s">
        <v>6</v>
      </c>
      <c r="C13" s="1" t="s">
        <v>4</v>
      </c>
      <c r="D13" t="s">
        <v>5</v>
      </c>
      <c r="E13" s="3" t="s">
        <v>7</v>
      </c>
    </row>
    <row r="14" spans="1:5">
      <c r="B14">
        <v>1000</v>
      </c>
      <c r="C14" s="1">
        <v>5.8000000000000003E-2</v>
      </c>
      <c r="D14">
        <v>13874.634816223979</v>
      </c>
      <c r="E14" s="3">
        <f>SUM(D2:D11)+D14</f>
        <v>30253.909165897679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CF">
                <anchor moveWithCells="1" sizeWithCells="1">
                  <from>
                    <xdr:col>6</xdr:col>
                    <xdr:colOff>428625</xdr:colOff>
                    <xdr:row>14</xdr:row>
                    <xdr:rowOff>19050</xdr:rowOff>
                  </from>
                  <to>
                    <xdr:col>7</xdr:col>
                    <xdr:colOff>828675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C15" sqref="C15:C16"/>
    </sheetView>
  </sheetViews>
  <sheetFormatPr defaultRowHeight="15.75"/>
  <cols>
    <col min="3" max="3" width="18.88671875" customWidth="1"/>
    <col min="4" max="4" width="16.77734375" customWidth="1"/>
    <col min="5" max="5" width="27.109375" customWidth="1"/>
  </cols>
  <sheetData>
    <row r="1" spans="1:5">
      <c r="A1" t="s">
        <v>0</v>
      </c>
      <c r="B1" t="s">
        <v>1</v>
      </c>
      <c r="C1" s="1" t="s">
        <v>2</v>
      </c>
      <c r="D1" t="s">
        <v>8</v>
      </c>
      <c r="E1" t="s">
        <v>9</v>
      </c>
    </row>
    <row r="2" spans="1:5">
      <c r="A2">
        <v>1</v>
      </c>
      <c r="B2">
        <v>1000</v>
      </c>
      <c r="C2" s="1">
        <v>0.128</v>
      </c>
      <c r="D2" s="1">
        <f>1+C2</f>
        <v>1.1280000000000001</v>
      </c>
      <c r="E2">
        <f>B2/PRODUCT(D$2:D2)</f>
        <v>886.52482269503537</v>
      </c>
    </row>
    <row r="3" spans="1:5">
      <c r="A3">
        <v>2</v>
      </c>
      <c r="B3">
        <v>2000</v>
      </c>
      <c r="C3" s="1">
        <v>0.13600000000000001</v>
      </c>
      <c r="D3" s="1">
        <f t="shared" ref="D3:D11" si="0">1+C3</f>
        <v>1.1360000000000001</v>
      </c>
      <c r="E3">
        <f>B3/PRODUCT(D$2:D3)</f>
        <v>1560.7831385475972</v>
      </c>
    </row>
    <row r="4" spans="1:5">
      <c r="A4">
        <v>3</v>
      </c>
      <c r="B4">
        <v>3000</v>
      </c>
      <c r="C4" s="1">
        <v>0.06</v>
      </c>
      <c r="D4" s="1">
        <f t="shared" si="0"/>
        <v>1.06</v>
      </c>
      <c r="E4">
        <f>B4/PRODUCT(D$2:D4)</f>
        <v>2208.6553847371656</v>
      </c>
    </row>
    <row r="5" spans="1:5">
      <c r="A5">
        <v>4</v>
      </c>
      <c r="B5">
        <v>2500</v>
      </c>
      <c r="C5" s="1">
        <v>0.11</v>
      </c>
      <c r="D5" s="1">
        <f t="shared" si="0"/>
        <v>1.1100000000000001</v>
      </c>
      <c r="E5">
        <f>B5/PRODUCT(D$2:D5)</f>
        <v>1658.1496882411152</v>
      </c>
    </row>
    <row r="6" spans="1:5">
      <c r="A6">
        <v>5</v>
      </c>
      <c r="B6">
        <v>30</v>
      </c>
      <c r="C6" s="1">
        <v>7.0000000000000007E-2</v>
      </c>
      <c r="D6" s="1">
        <f t="shared" si="0"/>
        <v>1.07</v>
      </c>
      <c r="E6">
        <f>B6/PRODUCT(D$2:D6)</f>
        <v>18.596071269993814</v>
      </c>
    </row>
    <row r="7" spans="1:5">
      <c r="A7">
        <v>6</v>
      </c>
      <c r="B7">
        <v>8000</v>
      </c>
      <c r="C7" s="1">
        <v>1.0999999999999999E-2</v>
      </c>
      <c r="D7" s="1">
        <f t="shared" si="0"/>
        <v>1.0109999999999999</v>
      </c>
      <c r="E7">
        <f>B7/PRODUCT(D$2:D7)</f>
        <v>4904.9973676211848</v>
      </c>
    </row>
    <row r="8" spans="1:5">
      <c r="A8">
        <v>7</v>
      </c>
      <c r="B8">
        <v>5000</v>
      </c>
      <c r="C8" s="1">
        <v>0.08</v>
      </c>
      <c r="D8" s="1">
        <f t="shared" si="0"/>
        <v>1.08</v>
      </c>
      <c r="E8">
        <f>B8/PRODUCT(D$2:D8)</f>
        <v>2838.5401432992967</v>
      </c>
    </row>
    <row r="9" spans="1:5">
      <c r="A9">
        <v>8</v>
      </c>
      <c r="B9">
        <v>2000</v>
      </c>
      <c r="C9" s="1">
        <v>0.11</v>
      </c>
      <c r="D9" s="1">
        <f t="shared" si="0"/>
        <v>1.1100000000000001</v>
      </c>
      <c r="E9">
        <f>B9/PRODUCT(D$2:D9)</f>
        <v>1022.8973489366833</v>
      </c>
    </row>
    <row r="10" spans="1:5">
      <c r="A10">
        <v>9</v>
      </c>
      <c r="B10">
        <v>3000</v>
      </c>
      <c r="C10" s="1">
        <v>0.2</v>
      </c>
      <c r="D10" s="1">
        <f t="shared" si="0"/>
        <v>1.2</v>
      </c>
      <c r="E10">
        <f>B10/PRODUCT(D$2:D10)</f>
        <v>1278.6216861708542</v>
      </c>
    </row>
    <row r="11" spans="1:5">
      <c r="A11">
        <v>10</v>
      </c>
      <c r="B11">
        <v>4</v>
      </c>
      <c r="C11" s="1">
        <v>0.13</v>
      </c>
      <c r="D11" s="1">
        <f t="shared" si="0"/>
        <v>1.1299999999999999</v>
      </c>
      <c r="E11">
        <f>B11/PRODUCT(D$2:D11)</f>
        <v>1.5086981547738696</v>
      </c>
    </row>
    <row r="13" spans="1:5">
      <c r="B13" t="s">
        <v>6</v>
      </c>
      <c r="C13" s="1" t="s">
        <v>4</v>
      </c>
      <c r="D13" t="s">
        <v>5</v>
      </c>
      <c r="E13" s="3" t="s">
        <v>7</v>
      </c>
    </row>
    <row r="14" spans="1:5">
      <c r="B14">
        <v>1000</v>
      </c>
      <c r="C14" s="1">
        <v>5.8000000000000003E-2</v>
      </c>
      <c r="D14">
        <f>B14*(1+C16)/(C14-C16)/PRODUCT(D2:D11)</f>
        <v>10124.15867019307</v>
      </c>
      <c r="E14" s="3">
        <f>SUM(E2:E11)+D14</f>
        <v>26503.43301986677</v>
      </c>
    </row>
    <row r="15" spans="1:5">
      <c r="C15" t="s">
        <v>10</v>
      </c>
    </row>
    <row r="16" spans="1:5">
      <c r="C16" s="2">
        <v>0.02</v>
      </c>
    </row>
    <row r="19" spans="5:5">
      <c r="E19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DCF</vt:lpstr>
      <vt:lpstr>工作表1</vt:lpstr>
      <vt:lpstr>DCF验算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hzp0625</cp:lastModifiedBy>
  <dcterms:created xsi:type="dcterms:W3CDTF">2018-05-29T07:44:12Z</dcterms:created>
  <dcterms:modified xsi:type="dcterms:W3CDTF">2018-06-01T04:47:30Z</dcterms:modified>
</cp:coreProperties>
</file>