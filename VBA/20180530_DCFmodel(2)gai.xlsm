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HZR\Desktop\help\"/>
    </mc:Choice>
  </mc:AlternateContent>
  <xr:revisionPtr revIDLastSave="0" documentId="10_ncr:8100000_{5EA1E529-BA0C-4FC3-8424-C1F13E5DDBE5}" xr6:coauthVersionLast="32" xr6:coauthVersionMax="32" xr10:uidLastSave="{00000000-0000-0000-0000-000000000000}"/>
  <bookViews>
    <workbookView xWindow="0" yWindow="432" windowWidth="28800" windowHeight="15780" tabRatio="500" xr2:uid="{00000000-000D-0000-FFFF-FFFF00000000}"/>
  </bookViews>
  <sheets>
    <sheet name="工作表1" sheetId="1" r:id="rId1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4" i="1" l="1"/>
  <c r="F14" i="1"/>
  <c r="E11" i="1"/>
  <c r="E10" i="1"/>
  <c r="E9" i="1"/>
  <c r="E8" i="1"/>
  <c r="E7" i="1"/>
  <c r="E6" i="1"/>
  <c r="E5" i="1"/>
  <c r="E4" i="1"/>
  <c r="E3" i="1"/>
  <c r="E2" i="1"/>
  <c r="D14" i="1" l="1"/>
  <c r="E1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喻静</author>
  </authors>
  <commentList>
    <comment ref="E14" authorId="0" shapeId="0" xr:uid="{5157C8D9-5AE7-4FD8-9DC6-5CCBCB798EC8}">
      <text>
        <r>
          <rPr>
            <b/>
            <sz val="9"/>
            <color indexed="81"/>
            <rFont val="宋体"/>
            <family val="3"/>
            <charset val="134"/>
          </rPr>
          <t>喻静:</t>
        </r>
        <r>
          <rPr>
            <sz val="9"/>
            <color indexed="81"/>
            <rFont val="宋体"/>
            <family val="3"/>
            <charset val="134"/>
          </rPr>
          <t xml:space="preserve">
有问题，D14加了两遍</t>
        </r>
      </text>
    </comment>
  </commentList>
</comments>
</file>

<file path=xl/sharedStrings.xml><?xml version="1.0" encoding="utf-8"?>
<sst xmlns="http://schemas.openxmlformats.org/spreadsheetml/2006/main" count="11" uniqueCount="11">
  <si>
    <t>年份</t>
    <phoneticPr fontId="1" type="noConversion"/>
  </si>
  <si>
    <t>现金流</t>
    <phoneticPr fontId="1" type="noConversion"/>
  </si>
  <si>
    <t>当期贴现率</t>
    <phoneticPr fontId="1" type="noConversion"/>
  </si>
  <si>
    <t>DCF</t>
    <phoneticPr fontId="1" type="noConversion"/>
  </si>
  <si>
    <t>永续贴现率</t>
    <phoneticPr fontId="1" type="noConversion"/>
  </si>
  <si>
    <t>DCF永续</t>
    <phoneticPr fontId="1" type="noConversion"/>
  </si>
  <si>
    <t>永续现金流</t>
    <phoneticPr fontId="1" type="noConversion"/>
  </si>
  <si>
    <t>DCF合计</t>
    <phoneticPr fontId="1" type="noConversion"/>
  </si>
  <si>
    <t>DCF_喻静</t>
    <phoneticPr fontId="1" type="noConversion"/>
  </si>
  <si>
    <t>DCF永续_喻静</t>
    <phoneticPr fontId="1" type="noConversion"/>
  </si>
  <si>
    <t>DCF合计_喻静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</si>
</sst>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2"/>
      <color rgb="FF000000"/>
      <name val="DengXian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0" fontId="0" fillId="0" borderId="0" xfId="0" applyNumberFormat="1"/>
    <xf numFmtId="0" fontId="0" fillId="2" borderId="0" xfId="0" applyFill="1"/>
  </cellXfs>
  <cellStyles count="1">
    <cellStyle name="常规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</xdr:row>
          <xdr:rowOff>7620</xdr:rowOff>
        </xdr:from>
        <xdr:to>
          <xdr:col>7</xdr:col>
          <xdr:colOff>1325880</xdr:colOff>
          <xdr:row>13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</a:rPr>
                <a:t>计算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4"/>
  <sheetViews>
    <sheetView tabSelected="1" workbookViewId="0">
      <selection activeCell="F11" sqref="F11"/>
    </sheetView>
  </sheetViews>
  <sheetFormatPr defaultColWidth="10.6328125" defaultRowHeight="15.6"/>
  <cols>
    <col min="1" max="1" width="15.453125" customWidth="1"/>
    <col min="2" max="2" width="18.36328125" customWidth="1"/>
    <col min="3" max="3" width="14.453125" style="1" customWidth="1"/>
    <col min="4" max="4" width="15" customWidth="1"/>
    <col min="5" max="5" width="15.6328125" customWidth="1"/>
    <col min="6" max="6" width="15.90625" style="1" customWidth="1"/>
    <col min="7" max="7" width="15.6328125" customWidth="1"/>
    <col min="8" max="8" width="17.453125" customWidth="1"/>
  </cols>
  <sheetData>
    <row r="1" spans="1:7">
      <c r="A1" t="s">
        <v>0</v>
      </c>
      <c r="B1" t="s">
        <v>1</v>
      </c>
      <c r="C1" s="1" t="s">
        <v>2</v>
      </c>
      <c r="D1" t="s">
        <v>3</v>
      </c>
      <c r="E1" t="s">
        <v>8</v>
      </c>
    </row>
    <row r="2" spans="1:7">
      <c r="A2">
        <v>1</v>
      </c>
      <c r="B2">
        <v>1000</v>
      </c>
      <c r="C2" s="1">
        <v>0.128</v>
      </c>
      <c r="D2">
        <v>886.5248226950356</v>
      </c>
      <c r="E2" s="2">
        <f>B2/(C2+1)</f>
        <v>886.52482269503537</v>
      </c>
    </row>
    <row r="3" spans="1:7">
      <c r="A3">
        <v>2</v>
      </c>
      <c r="B3">
        <v>2000</v>
      </c>
      <c r="C3" s="1">
        <v>0.13600000000000001</v>
      </c>
      <c r="D3">
        <v>1560.7831385475974</v>
      </c>
      <c r="E3" s="2">
        <f>B3/((1+C3)*(1+C2))</f>
        <v>1560.7831385475972</v>
      </c>
    </row>
    <row r="4" spans="1:7">
      <c r="A4">
        <v>3</v>
      </c>
      <c r="B4">
        <v>3000</v>
      </c>
      <c r="C4" s="1">
        <v>0.06</v>
      </c>
      <c r="D4">
        <v>2208.6553847371665</v>
      </c>
      <c r="E4" s="2">
        <f>B4/((1+C4)*(1+C3)*(1+C2))</f>
        <v>2208.6553847371661</v>
      </c>
    </row>
    <row r="5" spans="1:7">
      <c r="A5">
        <v>4</v>
      </c>
      <c r="B5">
        <v>2500</v>
      </c>
      <c r="C5" s="1">
        <v>0.11</v>
      </c>
      <c r="D5">
        <v>1658.1496882411159</v>
      </c>
      <c r="E5" s="2">
        <f>B5/((1+C5)*(1+C4)*(1+C3)*(1+C2))</f>
        <v>1658.1496882411154</v>
      </c>
    </row>
    <row r="6" spans="1:7">
      <c r="A6">
        <v>5</v>
      </c>
      <c r="B6">
        <v>30</v>
      </c>
      <c r="C6" s="1">
        <v>7.0000000000000007E-2</v>
      </c>
      <c r="D6">
        <v>18.596071269993825</v>
      </c>
      <c r="E6" s="2">
        <f>B6/((1+C6)*(1+C5)*(1+C4)*(1+C3)*(1+C2))</f>
        <v>18.596071269993818</v>
      </c>
    </row>
    <row r="7" spans="1:7">
      <c r="A7">
        <v>6</v>
      </c>
      <c r="B7">
        <v>8000</v>
      </c>
      <c r="C7" s="1">
        <v>1.0999999999999999E-2</v>
      </c>
      <c r="D7">
        <v>4904.9973676211748</v>
      </c>
      <c r="E7" s="2">
        <f>B7/((1+C7)*(1+C6)*(1+C5)*(1+C4)*(1+C3)*(1+C2))</f>
        <v>4904.9973676211857</v>
      </c>
    </row>
    <row r="8" spans="1:7">
      <c r="A8">
        <v>7</v>
      </c>
      <c r="B8">
        <v>5000</v>
      </c>
      <c r="C8" s="1">
        <v>0.08</v>
      </c>
      <c r="D8">
        <v>2838.5401432992858</v>
      </c>
      <c r="E8" s="2">
        <f>B8/((1+C8)*(1+C7)*(1+C6)*(1+C5)*(1+C4)*(1+C3)*(1+C2))</f>
        <v>2838.5401432992971</v>
      </c>
    </row>
    <row r="9" spans="1:7">
      <c r="A9">
        <v>8</v>
      </c>
      <c r="B9">
        <v>2000</v>
      </c>
      <c r="C9" s="1">
        <v>0.11</v>
      </c>
      <c r="D9">
        <v>1022.8973489366817</v>
      </c>
      <c r="E9" s="2">
        <f>B9/((1+C9)*(1+C8)*(1+C7)*(1+C6)*(1+C5)*(1+C4)*(1+C3)*(1+C2))</f>
        <v>1022.8973489366833</v>
      </c>
    </row>
    <row r="10" spans="1:7">
      <c r="A10">
        <v>9</v>
      </c>
      <c r="B10">
        <v>3000</v>
      </c>
      <c r="C10" s="1">
        <v>0.2</v>
      </c>
      <c r="D10">
        <v>1278.6216861708513</v>
      </c>
      <c r="E10" s="2">
        <f>B10/((1+C10)*(1+C9)*(1+C8)*(1+C7)*(1+C6)*(1+C5)*(1+C4)*(1+C3)*(1+C2))</f>
        <v>1278.6216861708544</v>
      </c>
    </row>
    <row r="11" spans="1:7">
      <c r="A11">
        <v>10</v>
      </c>
      <c r="B11">
        <v>4</v>
      </c>
      <c r="C11" s="1">
        <v>0.13</v>
      </c>
      <c r="D11">
        <v>1.5086981547738634</v>
      </c>
      <c r="E11" s="2">
        <f>B11/((1+C11)*(1+C10)*(1+C9)*(1+C8)*(1+C7)*(1+C6)*(1+C5)*(1+C4)*(1+C3)*(1+C2))</f>
        <v>1.5086981547738694</v>
      </c>
    </row>
    <row r="13" spans="1:7">
      <c r="B13" t="s">
        <v>6</v>
      </c>
      <c r="C13" s="1" t="s">
        <v>4</v>
      </c>
      <c r="D13" t="s">
        <v>5</v>
      </c>
      <c r="E13" t="s">
        <v>7</v>
      </c>
      <c r="F13" t="s">
        <v>9</v>
      </c>
      <c r="G13" t="s">
        <v>10</v>
      </c>
    </row>
    <row r="14" spans="1:7">
      <c r="B14">
        <v>1000</v>
      </c>
      <c r="C14" s="1">
        <v>5.8000000000000003E-2</v>
      </c>
      <c r="D14">
        <f>B14/C14</f>
        <v>17241.379310344826</v>
      </c>
      <c r="E14">
        <f>SUM(D2:D100)+D14</f>
        <v>50862.032970363332</v>
      </c>
      <c r="F14" s="2">
        <f>B14/C14</f>
        <v>17241.379310344826</v>
      </c>
      <c r="G14" s="2">
        <f>SUM(E2:E11)+F14</f>
        <v>33620.653660018528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 sizeWithCells="1">
                  <from>
                    <xdr:col>7</xdr:col>
                    <xdr:colOff>0</xdr:colOff>
                    <xdr:row>12</xdr:row>
                    <xdr:rowOff>7620</xdr:rowOff>
                  </from>
                  <to>
                    <xdr:col>7</xdr:col>
                    <xdr:colOff>1325880</xdr:colOff>
                    <xdr:row>13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喻静</cp:lastModifiedBy>
  <dcterms:created xsi:type="dcterms:W3CDTF">2018-05-29T07:44:12Z</dcterms:created>
  <dcterms:modified xsi:type="dcterms:W3CDTF">2018-05-30T10:35:33Z</dcterms:modified>
</cp:coreProperties>
</file>